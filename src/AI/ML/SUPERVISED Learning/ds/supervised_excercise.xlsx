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ocourse\DE1\iot_api_dk\iot-data-engineering-platform\src\AI\ML\SUPERVISED Learning\ds\"/>
    </mc:Choice>
  </mc:AlternateContent>
  <xr:revisionPtr revIDLastSave="0" documentId="13_ncr:1_{4576F019-FD7E-4156-9C0E-AC4B525D337E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Linear_Regression_Metrics_Workb" sheetId="1" r:id="rId1"/>
    <sheet name="Naive bayes metricseorkb" sheetId="2" r:id="rId2"/>
    <sheet name="KNNxa" sheetId="3" r:id="rId3"/>
    <sheet name="SV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2" i="3"/>
  <c r="B32" i="2"/>
  <c r="B34" i="2"/>
  <c r="B30" i="2"/>
  <c r="B29" i="2"/>
  <c r="B28" i="2"/>
  <c r="C25" i="2"/>
  <c r="B25" i="2"/>
  <c r="D24" i="2"/>
  <c r="D23" i="2"/>
  <c r="D22" i="2"/>
  <c r="B11" i="1"/>
  <c r="D9" i="1" s="1"/>
  <c r="H9" i="1" s="1"/>
  <c r="C11" i="1"/>
  <c r="E7" i="1" s="1"/>
  <c r="F7" i="1" s="1"/>
  <c r="D5" i="1" l="1"/>
  <c r="H5" i="1" s="1"/>
  <c r="D7" i="1"/>
  <c r="H7" i="1" s="1"/>
  <c r="D8" i="1"/>
  <c r="H8" i="1" s="1"/>
  <c r="D2" i="1"/>
  <c r="H2" i="1" s="1"/>
  <c r="D4" i="1"/>
  <c r="H4" i="1" s="1"/>
  <c r="D10" i="1"/>
  <c r="H10" i="1" s="1"/>
  <c r="D3" i="1"/>
  <c r="H3" i="1" s="1"/>
  <c r="D6" i="1"/>
  <c r="H6" i="1" s="1"/>
  <c r="E4" i="1"/>
  <c r="E5" i="1"/>
  <c r="E6" i="1"/>
  <c r="F6" i="1" s="1"/>
  <c r="E3" i="1"/>
  <c r="F3" i="1" s="1"/>
  <c r="E9" i="1"/>
  <c r="E8" i="1"/>
  <c r="F8" i="1" s="1"/>
  <c r="E10" i="1"/>
  <c r="E2" i="1"/>
  <c r="F2" i="1" s="1"/>
  <c r="G10" i="1" l="1"/>
  <c r="F10" i="1"/>
  <c r="G5" i="1"/>
  <c r="F5" i="1"/>
  <c r="G9" i="1"/>
  <c r="F9" i="1"/>
  <c r="G4" i="1"/>
  <c r="F4" i="1"/>
  <c r="F11" i="1" s="1"/>
  <c r="C26" i="1" s="1"/>
  <c r="G7" i="1"/>
  <c r="G8" i="1"/>
  <c r="G3" i="1"/>
  <c r="H11" i="1"/>
  <c r="G2" i="1"/>
  <c r="G6" i="1"/>
  <c r="G11" i="1"/>
  <c r="C16" i="1" s="1"/>
  <c r="C17" i="1" s="1"/>
  <c r="I5" i="1" l="1"/>
  <c r="J5" i="1" s="1"/>
  <c r="C19" i="1"/>
  <c r="I2" i="1"/>
  <c r="J2" i="1" s="1"/>
  <c r="I4" i="1"/>
  <c r="J4" i="1" s="1"/>
  <c r="I8" i="1"/>
  <c r="J8" i="1" s="1"/>
  <c r="I3" i="1"/>
  <c r="J3" i="1" s="1"/>
  <c r="I7" i="1"/>
  <c r="J7" i="1" s="1"/>
  <c r="I9" i="1"/>
  <c r="J9" i="1" s="1"/>
  <c r="I10" i="1"/>
  <c r="J10" i="1" s="1"/>
  <c r="I6" i="1"/>
  <c r="J6" i="1" s="1"/>
  <c r="L9" i="1" l="1"/>
  <c r="K9" i="1"/>
  <c r="K4" i="1"/>
  <c r="L4" i="1"/>
  <c r="L7" i="1"/>
  <c r="K7" i="1"/>
  <c r="L2" i="1"/>
  <c r="K2" i="1"/>
  <c r="L6" i="1"/>
  <c r="K6" i="1"/>
  <c r="L3" i="1"/>
  <c r="K3" i="1"/>
  <c r="L10" i="1"/>
  <c r="K10" i="1"/>
  <c r="K8" i="1"/>
  <c r="L8" i="1"/>
  <c r="L5" i="1"/>
  <c r="K5" i="1"/>
  <c r="L11" i="1" l="1"/>
  <c r="C21" i="1" s="1"/>
  <c r="C23" i="1"/>
  <c r="C24" i="1"/>
  <c r="C22" i="1" l="1"/>
  <c r="C30" i="1"/>
</calcChain>
</file>

<file path=xl/sharedStrings.xml><?xml version="1.0" encoding="utf-8"?>
<sst xmlns="http://schemas.openxmlformats.org/spreadsheetml/2006/main" count="111" uniqueCount="83">
  <si>
    <t>Salary(y)</t>
  </si>
  <si>
    <t>x-x_bar</t>
  </si>
  <si>
    <t>exp(x)</t>
  </si>
  <si>
    <t>Average</t>
  </si>
  <si>
    <t>mean of y = y bar</t>
  </si>
  <si>
    <t>mean of x = x bar</t>
  </si>
  <si>
    <t>y-y_bar</t>
  </si>
  <si>
    <t xml:space="preserve">To calculate the prediction </t>
  </si>
  <si>
    <t xml:space="preserve">To calculate the slop </t>
  </si>
  <si>
    <t xml:space="preserve">To calculate the intersept </t>
  </si>
  <si>
    <t>y = b + b1*x</t>
  </si>
  <si>
    <t>b = y_bar -b1*x_bar</t>
  </si>
  <si>
    <t>b1 = (submission of x- x_bar * submission of y- y_bar )/ submission of x- x_bar squre</t>
  </si>
  <si>
    <t>x-x_bar * y-y_bar</t>
  </si>
  <si>
    <t xml:space="preserve"> x- x_bar squre</t>
  </si>
  <si>
    <t>sum of (x-x_bar * y-y_bar)</t>
  </si>
  <si>
    <t>sum of ( x- x_bar squre)</t>
  </si>
  <si>
    <t>lets exp is 5 then expected salary</t>
  </si>
  <si>
    <t>predicted salary (y_pred)</t>
  </si>
  <si>
    <t>Error(salary - y_pred)</t>
  </si>
  <si>
    <t>Absolute Error (AE)</t>
  </si>
  <si>
    <t>Squared Error (SE)</t>
  </si>
  <si>
    <t>SSE=∑(yi−yi^)2</t>
  </si>
  <si>
    <t>SSE (Sum of Squared Error)</t>
  </si>
  <si>
    <t>MSE (Mean Squared Error)</t>
  </si>
  <si>
    <t>MSE=SSE/n</t>
  </si>
  <si>
    <t>RMSE (Root Mean Squared Error)</t>
  </si>
  <si>
    <t>RMSE=SQRT(MSE)</t>
  </si>
  <si>
    <t>SQRT(AVERAGE(E2:E6))</t>
  </si>
  <si>
    <t>MAE (Mean Absolute Error)</t>
  </si>
  <si>
    <t>MAE=∑∣yi−yi^∣n</t>
  </si>
  <si>
    <t>AVERAGE(D2:D6)</t>
  </si>
  <si>
    <t>SST (Total Sum of Squares)</t>
  </si>
  <si>
    <t>SST=∑(yi−yˉ)2</t>
  </si>
  <si>
    <t>SSR (Regression Sum of Squares)</t>
  </si>
  <si>
    <t>SUM((Predicted-MeanActual)^2)</t>
  </si>
  <si>
    <t>SSR=∑(yi^−yˉ)2</t>
  </si>
  <si>
    <t>R² (R-Squared)</t>
  </si>
  <si>
    <t>1-(SSE/SST)</t>
  </si>
  <si>
    <t>( Y - Ŷ )²</t>
  </si>
  <si>
    <t>( Y - Ŷ )² =sum (salary - mean of salary)2</t>
  </si>
  <si>
    <t>sum (salary - mean of salary)</t>
  </si>
  <si>
    <t>Word</t>
  </si>
  <si>
    <t>Target/Spam/Not</t>
  </si>
  <si>
    <t>Good</t>
  </si>
  <si>
    <t>Promotion</t>
  </si>
  <si>
    <t>Win</t>
  </si>
  <si>
    <t>Ham</t>
  </si>
  <si>
    <t>Spam</t>
  </si>
  <si>
    <t>Frequency Table</t>
  </si>
  <si>
    <t>Vocab</t>
  </si>
  <si>
    <t>Likehood Table</t>
  </si>
  <si>
    <t>P(B)/P(Vocab)</t>
  </si>
  <si>
    <t>P(A)/P(T)</t>
  </si>
  <si>
    <t>What is the probability of having spam given that the word is good?</t>
  </si>
  <si>
    <t>P(Good) = B</t>
  </si>
  <si>
    <t>P(Spam) =A</t>
  </si>
  <si>
    <t>P(B/A) = Good/Spam</t>
  </si>
  <si>
    <t>P(Spam/Good)</t>
  </si>
  <si>
    <t>P(A|B)=P(B|A) * P(A) / P(B)</t>
  </si>
  <si>
    <t>P(Ham/Good)</t>
  </si>
  <si>
    <t>Answer</t>
  </si>
  <si>
    <t>Ham for Good word</t>
  </si>
  <si>
    <t>For numeric values/ continuous values:</t>
  </si>
  <si>
    <t>Gaussian naive bayes</t>
  </si>
  <si>
    <t>We cannot' freq table.</t>
  </si>
  <si>
    <t>Mean and Standard Deviation.</t>
  </si>
  <si>
    <t>Numeric = Gaussian Naive Bayes:</t>
  </si>
  <si>
    <t>Real values.</t>
  </si>
  <si>
    <t>Text = Multinomial Naive Bayes / Naive Bayes -</t>
  </si>
  <si>
    <t>Suitable for discrete values</t>
  </si>
  <si>
    <t>Word frequency counts</t>
  </si>
  <si>
    <t>X1</t>
  </si>
  <si>
    <t>Y1</t>
  </si>
  <si>
    <t>Euclidean Dist</t>
  </si>
  <si>
    <t xml:space="preserve">class </t>
  </si>
  <si>
    <t>A</t>
  </si>
  <si>
    <t>B</t>
  </si>
  <si>
    <t>?</t>
  </si>
  <si>
    <t>Predection</t>
  </si>
  <si>
    <t>k = 1</t>
  </si>
  <si>
    <t>nearest distance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</si>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</sst>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>
      <selection activeCell="F19" sqref="F19"/>
    </sheetView>
  </sheetViews>
  <sheetFormatPr defaultRowHeight="14.4" x14ac:dyDescent="0.3"/>
  <cols>
    <col min="1" max="1" width="27.44140625" customWidth="1"/>
    <col min="2" max="2" width="47.21875" style="1" customWidth="1"/>
    <col min="3" max="3" width="14.6640625" style="1" bestFit="1" customWidth="1"/>
    <col min="4" max="5" width="12.6640625" bestFit="1" customWidth="1"/>
    <col min="6" max="6" width="12.6640625" customWidth="1"/>
    <col min="7" max="7" width="16.5546875" bestFit="1" customWidth="1"/>
    <col min="8" max="8" width="14.77734375" bestFit="1" customWidth="1"/>
    <col min="9" max="9" width="21.44140625" bestFit="1" customWidth="1"/>
    <col min="10" max="10" width="18.109375" bestFit="1" customWidth="1"/>
    <col min="11" max="11" width="16.33203125" bestFit="1" customWidth="1"/>
    <col min="12" max="12" width="15.6640625" bestFit="1" customWidth="1"/>
  </cols>
  <sheetData>
    <row r="1" spans="1:12" x14ac:dyDescent="0.3">
      <c r="B1" s="7" t="s">
        <v>2</v>
      </c>
      <c r="C1" s="7" t="s">
        <v>0</v>
      </c>
      <c r="D1" s="3" t="s">
        <v>1</v>
      </c>
      <c r="E1" s="3" t="s">
        <v>6</v>
      </c>
      <c r="F1" s="3" t="s">
        <v>39</v>
      </c>
      <c r="G1" s="3" t="s">
        <v>13</v>
      </c>
      <c r="H1" s="3" t="s">
        <v>14</v>
      </c>
      <c r="I1" s="3" t="s">
        <v>18</v>
      </c>
      <c r="J1" s="3" t="s">
        <v>19</v>
      </c>
      <c r="K1" s="3" t="s">
        <v>20</v>
      </c>
      <c r="L1" s="3" t="s">
        <v>21</v>
      </c>
    </row>
    <row r="2" spans="1:12" x14ac:dyDescent="0.3">
      <c r="B2" s="1">
        <v>2</v>
      </c>
      <c r="C2" s="1">
        <v>20000</v>
      </c>
      <c r="D2">
        <f>B2-B$11</f>
        <v>-1.1111111111111112</v>
      </c>
      <c r="E2">
        <f>C2-C$11</f>
        <v>-622.22222222222263</v>
      </c>
      <c r="F2">
        <f>E2*E2</f>
        <v>387160.49382716097</v>
      </c>
      <c r="G2">
        <f t="shared" ref="G2:G10" si="0">D2*E2</f>
        <v>691.35802469135854</v>
      </c>
      <c r="H2">
        <f t="shared" ref="H2:H10" si="1">D2*D2</f>
        <v>1.2345679012345681</v>
      </c>
      <c r="I2" s="11">
        <f t="shared" ref="I2:I10" si="2">C$17+C$16*B2</f>
        <v>14542.857142857145</v>
      </c>
      <c r="J2">
        <f t="shared" ref="J2:J10" si="3">C2-I2</f>
        <v>5457.1428571428551</v>
      </c>
      <c r="K2">
        <f>ABS(J2)</f>
        <v>5457.1428571428551</v>
      </c>
      <c r="L2">
        <f>J2*J2</f>
        <v>29780408.163265284</v>
      </c>
    </row>
    <row r="3" spans="1:12" x14ac:dyDescent="0.3">
      <c r="B3" s="1">
        <v>4</v>
      </c>
      <c r="C3" s="1">
        <v>30000</v>
      </c>
      <c r="D3">
        <f t="shared" ref="D3:D10" si="4">B3-B$11</f>
        <v>0.88888888888888884</v>
      </c>
      <c r="E3">
        <f t="shared" ref="E3:E10" si="5">C3-C$11</f>
        <v>9377.7777777777774</v>
      </c>
      <c r="F3">
        <f t="shared" ref="F3:F10" si="6">E3*E3</f>
        <v>87942716.049382702</v>
      </c>
      <c r="G3">
        <f t="shared" si="0"/>
        <v>8335.8024691358023</v>
      </c>
      <c r="H3">
        <f t="shared" si="1"/>
        <v>0.79012345679012341</v>
      </c>
      <c r="I3" s="11">
        <f t="shared" si="2"/>
        <v>25485.714285714286</v>
      </c>
      <c r="J3">
        <f t="shared" si="3"/>
        <v>4514.2857142857138</v>
      </c>
      <c r="K3">
        <f t="shared" ref="K3:K10" si="7">ABS(J3)</f>
        <v>4514.2857142857138</v>
      </c>
      <c r="L3">
        <f t="shared" ref="L3:L10" si="8">J3*J3</f>
        <v>20378775.510204077</v>
      </c>
    </row>
    <row r="4" spans="1:12" x14ac:dyDescent="0.3">
      <c r="B4" s="1">
        <v>2</v>
      </c>
      <c r="C4" s="1">
        <v>10000</v>
      </c>
      <c r="D4">
        <f t="shared" si="4"/>
        <v>-1.1111111111111112</v>
      </c>
      <c r="E4">
        <f t="shared" si="5"/>
        <v>-10622.222222222223</v>
      </c>
      <c r="F4">
        <f t="shared" si="6"/>
        <v>112831604.93827161</v>
      </c>
      <c r="G4">
        <f t="shared" si="0"/>
        <v>11802.46913580247</v>
      </c>
      <c r="H4">
        <f t="shared" si="1"/>
        <v>1.2345679012345681</v>
      </c>
      <c r="I4" s="11">
        <f t="shared" si="2"/>
        <v>14542.857142857145</v>
      </c>
      <c r="J4">
        <f t="shared" si="3"/>
        <v>-4542.8571428571449</v>
      </c>
      <c r="K4">
        <f t="shared" si="7"/>
        <v>4542.8571428571449</v>
      </c>
      <c r="L4">
        <f t="shared" si="8"/>
        <v>20637551.020408183</v>
      </c>
    </row>
    <row r="5" spans="1:12" x14ac:dyDescent="0.3">
      <c r="B5" s="1">
        <v>2</v>
      </c>
      <c r="C5" s="1">
        <v>10000</v>
      </c>
      <c r="D5">
        <f t="shared" si="4"/>
        <v>-1.1111111111111112</v>
      </c>
      <c r="E5">
        <f t="shared" si="5"/>
        <v>-10622.222222222223</v>
      </c>
      <c r="F5">
        <f t="shared" si="6"/>
        <v>112831604.93827161</v>
      </c>
      <c r="G5">
        <f t="shared" si="0"/>
        <v>11802.46913580247</v>
      </c>
      <c r="H5">
        <f t="shared" si="1"/>
        <v>1.2345679012345681</v>
      </c>
      <c r="I5" s="11">
        <f t="shared" si="2"/>
        <v>14542.857142857145</v>
      </c>
      <c r="J5">
        <f t="shared" si="3"/>
        <v>-4542.8571428571449</v>
      </c>
      <c r="K5">
        <f t="shared" si="7"/>
        <v>4542.8571428571449</v>
      </c>
      <c r="L5">
        <f t="shared" si="8"/>
        <v>20637551.020408183</v>
      </c>
    </row>
    <row r="6" spans="1:12" x14ac:dyDescent="0.3">
      <c r="B6" s="1">
        <v>3</v>
      </c>
      <c r="C6" s="1">
        <v>25000</v>
      </c>
      <c r="D6">
        <f t="shared" si="4"/>
        <v>-0.11111111111111116</v>
      </c>
      <c r="E6">
        <f t="shared" si="5"/>
        <v>4377.7777777777774</v>
      </c>
      <c r="F6">
        <f t="shared" si="6"/>
        <v>19164938.271604937</v>
      </c>
      <c r="G6">
        <f t="shared" si="0"/>
        <v>-486.41975308641992</v>
      </c>
      <c r="H6">
        <f t="shared" si="1"/>
        <v>1.234567901234569E-2</v>
      </c>
      <c r="I6" s="11">
        <f t="shared" si="2"/>
        <v>20014.285714285714</v>
      </c>
      <c r="J6">
        <f t="shared" si="3"/>
        <v>4985.7142857142862</v>
      </c>
      <c r="K6">
        <f t="shared" si="7"/>
        <v>4985.7142857142862</v>
      </c>
      <c r="L6">
        <f t="shared" si="8"/>
        <v>24857346.938775517</v>
      </c>
    </row>
    <row r="7" spans="1:12" x14ac:dyDescent="0.3">
      <c r="B7" s="1">
        <v>5</v>
      </c>
      <c r="C7" s="1">
        <v>35600</v>
      </c>
      <c r="D7">
        <f t="shared" si="4"/>
        <v>1.8888888888888888</v>
      </c>
      <c r="E7">
        <f t="shared" si="5"/>
        <v>14977.777777777777</v>
      </c>
      <c r="F7">
        <f t="shared" si="6"/>
        <v>224333827.16049382</v>
      </c>
      <c r="G7">
        <f t="shared" si="0"/>
        <v>28291.358024691355</v>
      </c>
      <c r="H7">
        <f t="shared" si="1"/>
        <v>3.5679012345679011</v>
      </c>
      <c r="I7" s="11">
        <f t="shared" si="2"/>
        <v>30957.142857142859</v>
      </c>
      <c r="J7">
        <f t="shared" si="3"/>
        <v>4642.8571428571413</v>
      </c>
      <c r="K7">
        <f t="shared" si="7"/>
        <v>4642.8571428571413</v>
      </c>
      <c r="L7">
        <f t="shared" si="8"/>
        <v>21556122.448979579</v>
      </c>
    </row>
    <row r="8" spans="1:12" x14ac:dyDescent="0.3">
      <c r="B8" s="1">
        <v>4</v>
      </c>
      <c r="C8" s="1">
        <v>12000</v>
      </c>
      <c r="D8">
        <f>B8-B$11</f>
        <v>0.88888888888888884</v>
      </c>
      <c r="E8">
        <f t="shared" si="5"/>
        <v>-8622.2222222222226</v>
      </c>
      <c r="F8">
        <f t="shared" si="6"/>
        <v>74342716.049382716</v>
      </c>
      <c r="G8">
        <f t="shared" si="0"/>
        <v>-7664.1975308641977</v>
      </c>
      <c r="H8">
        <f t="shared" si="1"/>
        <v>0.79012345679012341</v>
      </c>
      <c r="I8" s="11">
        <f t="shared" si="2"/>
        <v>25485.714285714286</v>
      </c>
      <c r="J8">
        <f t="shared" si="3"/>
        <v>-13485.714285714286</v>
      </c>
      <c r="K8">
        <f t="shared" si="7"/>
        <v>13485.714285714286</v>
      </c>
      <c r="L8">
        <f t="shared" si="8"/>
        <v>181864489.79591838</v>
      </c>
    </row>
    <row r="9" spans="1:12" x14ac:dyDescent="0.3">
      <c r="B9" s="1">
        <v>2</v>
      </c>
      <c r="C9" s="1">
        <v>18000</v>
      </c>
      <c r="D9">
        <f>B9-B$11</f>
        <v>-1.1111111111111112</v>
      </c>
      <c r="E9">
        <f t="shared" si="5"/>
        <v>-2622.2222222222226</v>
      </c>
      <c r="F9">
        <f t="shared" si="6"/>
        <v>6876049.3827160513</v>
      </c>
      <c r="G9">
        <f t="shared" si="0"/>
        <v>2913.580246913581</v>
      </c>
      <c r="H9">
        <f t="shared" si="1"/>
        <v>1.2345679012345681</v>
      </c>
      <c r="I9" s="11">
        <f t="shared" si="2"/>
        <v>14542.857142857145</v>
      </c>
      <c r="J9">
        <f t="shared" si="3"/>
        <v>3457.1428571428551</v>
      </c>
      <c r="K9">
        <f t="shared" si="7"/>
        <v>3457.1428571428551</v>
      </c>
      <c r="L9">
        <f t="shared" si="8"/>
        <v>11951836.734693862</v>
      </c>
    </row>
    <row r="10" spans="1:12" x14ac:dyDescent="0.3">
      <c r="B10" s="1">
        <v>4</v>
      </c>
      <c r="C10" s="1">
        <v>25000</v>
      </c>
      <c r="D10">
        <f t="shared" si="4"/>
        <v>0.88888888888888884</v>
      </c>
      <c r="E10">
        <f t="shared" si="5"/>
        <v>4377.7777777777774</v>
      </c>
      <c r="F10">
        <f t="shared" si="6"/>
        <v>19164938.271604937</v>
      </c>
      <c r="G10">
        <f t="shared" si="0"/>
        <v>3891.3580246913575</v>
      </c>
      <c r="H10">
        <f t="shared" si="1"/>
        <v>0.79012345679012341</v>
      </c>
      <c r="I10" s="11">
        <f t="shared" si="2"/>
        <v>25485.714285714286</v>
      </c>
      <c r="J10">
        <f t="shared" si="3"/>
        <v>-485.71428571428623</v>
      </c>
      <c r="K10">
        <f t="shared" si="7"/>
        <v>485.71428571428623</v>
      </c>
      <c r="L10">
        <f t="shared" si="8"/>
        <v>235918.36734693928</v>
      </c>
    </row>
    <row r="11" spans="1:12" x14ac:dyDescent="0.3">
      <c r="A11" s="3" t="s">
        <v>3</v>
      </c>
      <c r="B11" s="7">
        <f>AVERAGE(B2:B10)</f>
        <v>3.1111111111111112</v>
      </c>
      <c r="C11" s="7">
        <f>AVERAGE(C2:C10)</f>
        <v>20622.222222222223</v>
      </c>
      <c r="D11" s="3"/>
      <c r="E11" s="3"/>
      <c r="F11" s="3">
        <f>SUM(F2:F10)</f>
        <v>657875555.55555546</v>
      </c>
      <c r="G11" s="3">
        <f>SUM(G2:G10)</f>
        <v>59577.777777777774</v>
      </c>
      <c r="H11" s="3">
        <f>SUM(H2:H10)</f>
        <v>10.888888888888889</v>
      </c>
      <c r="L11" s="3">
        <f>SUM(L2:L10)</f>
        <v>331900000.00000006</v>
      </c>
    </row>
    <row r="12" spans="1:12" ht="43.2" x14ac:dyDescent="0.3">
      <c r="A12" s="3"/>
      <c r="B12" s="8" t="s">
        <v>5</v>
      </c>
      <c r="C12" s="8" t="s">
        <v>4</v>
      </c>
      <c r="D12" s="9"/>
      <c r="E12" s="12"/>
      <c r="F12" s="10" t="s">
        <v>41</v>
      </c>
      <c r="G12" s="10" t="s">
        <v>15</v>
      </c>
      <c r="H12" s="10" t="s">
        <v>16</v>
      </c>
      <c r="L12" s="10" t="s">
        <v>23</v>
      </c>
    </row>
    <row r="13" spans="1:12" x14ac:dyDescent="0.3">
      <c r="A13" s="3"/>
    </row>
    <row r="14" spans="1:12" x14ac:dyDescent="0.3">
      <c r="A14" s="3"/>
    </row>
    <row r="16" spans="1:12" ht="28.8" x14ac:dyDescent="0.3">
      <c r="A16" s="6" t="s">
        <v>8</v>
      </c>
      <c r="B16" s="5" t="s">
        <v>12</v>
      </c>
      <c r="C16" s="1">
        <f>G11/H11</f>
        <v>5471.4285714285706</v>
      </c>
    </row>
    <row r="17" spans="1:4" x14ac:dyDescent="0.3">
      <c r="A17" s="6" t="s">
        <v>9</v>
      </c>
      <c r="B17" s="4" t="s">
        <v>11</v>
      </c>
      <c r="C17" s="1">
        <f>C11 - (C16*B11)</f>
        <v>3600.0000000000036</v>
      </c>
    </row>
    <row r="18" spans="1:4" x14ac:dyDescent="0.3">
      <c r="A18" s="6" t="s">
        <v>7</v>
      </c>
      <c r="B18" s="4" t="s">
        <v>10</v>
      </c>
    </row>
    <row r="19" spans="1:4" x14ac:dyDescent="0.3">
      <c r="B19" s="11" t="s">
        <v>17</v>
      </c>
      <c r="C19" s="11">
        <f>C17+(C16*5)</f>
        <v>30957.142857142859</v>
      </c>
    </row>
    <row r="21" spans="1:4" x14ac:dyDescent="0.3">
      <c r="A21" s="6" t="s">
        <v>23</v>
      </c>
      <c r="B21" s="4" t="s">
        <v>22</v>
      </c>
      <c r="C21" s="4">
        <f>L11</f>
        <v>331900000.00000006</v>
      </c>
    </row>
    <row r="22" spans="1:4" x14ac:dyDescent="0.3">
      <c r="A22" t="s">
        <v>24</v>
      </c>
      <c r="B22" t="s">
        <v>25</v>
      </c>
      <c r="C22" s="1">
        <f>C21/9</f>
        <v>36877777.777777784</v>
      </c>
    </row>
    <row r="23" spans="1:4" ht="28.8" x14ac:dyDescent="0.3">
      <c r="A23" t="s">
        <v>26</v>
      </c>
      <c r="B23" t="s">
        <v>27</v>
      </c>
      <c r="C23">
        <f>SQRT(AVERAGE(L2:L10))</f>
        <v>6072.7076150410685</v>
      </c>
      <c r="D23" s="2" t="s">
        <v>28</v>
      </c>
    </row>
    <row r="24" spans="1:4" x14ac:dyDescent="0.3">
      <c r="A24" t="s">
        <v>29</v>
      </c>
      <c r="B24" t="s">
        <v>30</v>
      </c>
      <c r="C24">
        <f>AVERAGE(K2:K10)</f>
        <v>5123.8095238095229</v>
      </c>
      <c r="D24" t="s">
        <v>31</v>
      </c>
    </row>
    <row r="26" spans="1:4" x14ac:dyDescent="0.3">
      <c r="A26" s="6" t="s">
        <v>32</v>
      </c>
      <c r="B26" s="4" t="s">
        <v>33</v>
      </c>
      <c r="C26" s="4">
        <f>F11</f>
        <v>657875555.55555546</v>
      </c>
      <c r="D26" s="4" t="s">
        <v>40</v>
      </c>
    </row>
    <row r="28" spans="1:4" x14ac:dyDescent="0.3">
      <c r="A28" s="6" t="s">
        <v>34</v>
      </c>
      <c r="B28" s="4" t="s">
        <v>35</v>
      </c>
      <c r="C28" s="4"/>
      <c r="D28" s="4" t="s">
        <v>36</v>
      </c>
    </row>
    <row r="30" spans="1:4" x14ac:dyDescent="0.3">
      <c r="A30" s="6" t="s">
        <v>37</v>
      </c>
      <c r="B30" s="4" t="s">
        <v>38</v>
      </c>
      <c r="C30" s="4">
        <f>1-(C21/C26)</f>
        <v>0.49549729094323802</v>
      </c>
      <c r="D3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7DD1-0D0C-4669-A8FE-4C9EFCBBEFE5}">
  <dimension ref="A1:D53"/>
  <sheetViews>
    <sheetView topLeftCell="A31" workbookViewId="0">
      <selection activeCell="F49" sqref="F49"/>
    </sheetView>
  </sheetViews>
  <sheetFormatPr defaultRowHeight="14.4" x14ac:dyDescent="0.3"/>
  <cols>
    <col min="1" max="1" width="17.21875" customWidth="1"/>
    <col min="2" max="2" width="17.44140625" bestFit="1" customWidth="1"/>
    <col min="4" max="4" width="13" customWidth="1"/>
  </cols>
  <sheetData>
    <row r="1" spans="1:3" x14ac:dyDescent="0.3">
      <c r="A1" s="3" t="s">
        <v>42</v>
      </c>
      <c r="B1" s="3" t="s">
        <v>43</v>
      </c>
      <c r="C1" s="3"/>
    </row>
    <row r="2" spans="1:3" x14ac:dyDescent="0.3">
      <c r="A2" t="s">
        <v>44</v>
      </c>
      <c r="B2" t="s">
        <v>47</v>
      </c>
    </row>
    <row r="3" spans="1:3" x14ac:dyDescent="0.3">
      <c r="A3" t="s">
        <v>45</v>
      </c>
      <c r="B3" t="s">
        <v>48</v>
      </c>
    </row>
    <row r="4" spans="1:3" x14ac:dyDescent="0.3">
      <c r="A4" t="s">
        <v>46</v>
      </c>
      <c r="B4" t="s">
        <v>47</v>
      </c>
    </row>
    <row r="5" spans="1:3" x14ac:dyDescent="0.3">
      <c r="A5" t="s">
        <v>45</v>
      </c>
      <c r="B5" t="s">
        <v>48</v>
      </c>
    </row>
    <row r="6" spans="1:3" x14ac:dyDescent="0.3">
      <c r="A6" t="s">
        <v>45</v>
      </c>
      <c r="B6" t="s">
        <v>48</v>
      </c>
    </row>
    <row r="7" spans="1:3" x14ac:dyDescent="0.3">
      <c r="A7" t="s">
        <v>46</v>
      </c>
      <c r="B7" t="s">
        <v>47</v>
      </c>
    </row>
    <row r="8" spans="1:3" x14ac:dyDescent="0.3">
      <c r="A8" t="s">
        <v>45</v>
      </c>
      <c r="B8" t="s">
        <v>48</v>
      </c>
    </row>
    <row r="9" spans="1:3" x14ac:dyDescent="0.3">
      <c r="A9" t="s">
        <v>44</v>
      </c>
      <c r="B9" t="s">
        <v>47</v>
      </c>
    </row>
    <row r="10" spans="1:3" x14ac:dyDescent="0.3">
      <c r="A10" t="s">
        <v>44</v>
      </c>
      <c r="B10" t="s">
        <v>48</v>
      </c>
    </row>
    <row r="11" spans="1:3" x14ac:dyDescent="0.3">
      <c r="A11" t="s">
        <v>46</v>
      </c>
      <c r="B11" t="s">
        <v>47</v>
      </c>
    </row>
    <row r="13" spans="1:3" x14ac:dyDescent="0.3">
      <c r="A13" s="3" t="s">
        <v>49</v>
      </c>
    </row>
    <row r="14" spans="1:3" x14ac:dyDescent="0.3">
      <c r="A14" s="3" t="s">
        <v>50</v>
      </c>
      <c r="B14" s="3" t="s">
        <v>48</v>
      </c>
      <c r="C14" s="3" t="s">
        <v>47</v>
      </c>
    </row>
    <row r="15" spans="1:3" x14ac:dyDescent="0.3">
      <c r="A15" t="s">
        <v>44</v>
      </c>
      <c r="B15">
        <v>1</v>
      </c>
      <c r="C15">
        <v>2</v>
      </c>
    </row>
    <row r="16" spans="1:3" x14ac:dyDescent="0.3">
      <c r="A16" t="s">
        <v>45</v>
      </c>
      <c r="B16">
        <v>3</v>
      </c>
      <c r="C16">
        <v>1</v>
      </c>
    </row>
    <row r="17" spans="1:4" x14ac:dyDescent="0.3">
      <c r="A17" t="s">
        <v>46</v>
      </c>
      <c r="B17">
        <v>0</v>
      </c>
      <c r="C17">
        <v>3</v>
      </c>
    </row>
    <row r="20" spans="1:4" x14ac:dyDescent="0.3">
      <c r="A20" s="3" t="s">
        <v>51</v>
      </c>
      <c r="B20" s="3"/>
      <c r="C20" s="3"/>
      <c r="D20" s="3"/>
    </row>
    <row r="21" spans="1:4" x14ac:dyDescent="0.3">
      <c r="A21" s="3" t="s">
        <v>50</v>
      </c>
      <c r="B21" s="3" t="s">
        <v>48</v>
      </c>
      <c r="C21" s="3" t="s">
        <v>47</v>
      </c>
      <c r="D21" s="3" t="s">
        <v>52</v>
      </c>
    </row>
    <row r="22" spans="1:4" x14ac:dyDescent="0.3">
      <c r="A22" s="3" t="s">
        <v>44</v>
      </c>
      <c r="B22">
        <v>1</v>
      </c>
      <c r="C22">
        <v>2</v>
      </c>
      <c r="D22">
        <f>3/10</f>
        <v>0.3</v>
      </c>
    </row>
    <row r="23" spans="1:4" x14ac:dyDescent="0.3">
      <c r="A23" s="3" t="s">
        <v>45</v>
      </c>
      <c r="B23">
        <v>3</v>
      </c>
      <c r="C23">
        <v>1</v>
      </c>
      <c r="D23">
        <f>4/10</f>
        <v>0.4</v>
      </c>
    </row>
    <row r="24" spans="1:4" x14ac:dyDescent="0.3">
      <c r="A24" s="3" t="s">
        <v>46</v>
      </c>
      <c r="B24">
        <v>0</v>
      </c>
      <c r="C24">
        <v>3</v>
      </c>
      <c r="D24">
        <f>3/10</f>
        <v>0.3</v>
      </c>
    </row>
    <row r="25" spans="1:4" x14ac:dyDescent="0.3">
      <c r="A25" s="3" t="s">
        <v>53</v>
      </c>
      <c r="B25">
        <f>4/10</f>
        <v>0.4</v>
      </c>
      <c r="C25">
        <f>6/10</f>
        <v>0.6</v>
      </c>
    </row>
    <row r="27" spans="1:4" x14ac:dyDescent="0.3">
      <c r="A27" s="3" t="s">
        <v>54</v>
      </c>
    </row>
    <row r="28" spans="1:4" x14ac:dyDescent="0.3">
      <c r="A28" s="3" t="s">
        <v>55</v>
      </c>
      <c r="B28">
        <f>D22</f>
        <v>0.3</v>
      </c>
    </row>
    <row r="29" spans="1:4" x14ac:dyDescent="0.3">
      <c r="A29" s="3" t="s">
        <v>56</v>
      </c>
      <c r="B29">
        <f>B25</f>
        <v>0.4</v>
      </c>
    </row>
    <row r="30" spans="1:4" x14ac:dyDescent="0.3">
      <c r="A30" s="3" t="s">
        <v>57</v>
      </c>
      <c r="B30">
        <f>B22/(B22+C22)</f>
        <v>0.33333333333333331</v>
      </c>
    </row>
    <row r="31" spans="1:4" x14ac:dyDescent="0.3">
      <c r="A31" s="3"/>
    </row>
    <row r="32" spans="1:4" ht="28.8" x14ac:dyDescent="0.3">
      <c r="A32" s="14" t="s">
        <v>59</v>
      </c>
      <c r="B32">
        <f>B30*B29/B28</f>
        <v>0.44444444444444448</v>
      </c>
    </row>
    <row r="33" spans="1:2" x14ac:dyDescent="0.3">
      <c r="A33" s="13"/>
    </row>
    <row r="34" spans="1:2" x14ac:dyDescent="0.3">
      <c r="A34" s="3" t="s">
        <v>58</v>
      </c>
      <c r="B34">
        <f>B32</f>
        <v>0.44444444444444448</v>
      </c>
    </row>
    <row r="35" spans="1:2" x14ac:dyDescent="0.3">
      <c r="A35" s="3" t="s">
        <v>60</v>
      </c>
      <c r="B35">
        <v>0.6</v>
      </c>
    </row>
    <row r="36" spans="1:2" x14ac:dyDescent="0.3">
      <c r="A36" s="3" t="s">
        <v>61</v>
      </c>
      <c r="B36" t="s">
        <v>62</v>
      </c>
    </row>
    <row r="37" spans="1:2" x14ac:dyDescent="0.3">
      <c r="A37" s="3"/>
    </row>
    <row r="40" spans="1:2" x14ac:dyDescent="0.3">
      <c r="A40" s="3" t="s">
        <v>63</v>
      </c>
    </row>
    <row r="41" spans="1:2" x14ac:dyDescent="0.3">
      <c r="A41" s="15"/>
    </row>
    <row r="42" spans="1:2" x14ac:dyDescent="0.3">
      <c r="A42" s="15" t="s">
        <v>64</v>
      </c>
    </row>
    <row r="43" spans="1:2" x14ac:dyDescent="0.3">
      <c r="A43" s="15" t="s">
        <v>65</v>
      </c>
    </row>
    <row r="44" spans="1:2" x14ac:dyDescent="0.3">
      <c r="A44" s="15" t="s">
        <v>66</v>
      </c>
    </row>
    <row r="46" spans="1:2" x14ac:dyDescent="0.3">
      <c r="A46" t="s">
        <v>67</v>
      </c>
    </row>
    <row r="47" spans="1:2" x14ac:dyDescent="0.3">
      <c r="A47" s="15"/>
    </row>
    <row r="48" spans="1:2" x14ac:dyDescent="0.3">
      <c r="A48" s="15" t="s">
        <v>68</v>
      </c>
    </row>
    <row r="50" spans="1:1" x14ac:dyDescent="0.3">
      <c r="A50" t="s">
        <v>69</v>
      </c>
    </row>
    <row r="51" spans="1:1" x14ac:dyDescent="0.3">
      <c r="A51" s="15"/>
    </row>
    <row r="52" spans="1:1" x14ac:dyDescent="0.3">
      <c r="A52" s="15" t="s">
        <v>70</v>
      </c>
    </row>
    <row r="53" spans="1:1" x14ac:dyDescent="0.3">
      <c r="A53" s="1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FBB3-4018-4E6B-AF65-2CA5A4F5DCA1}">
  <dimension ref="A1:F4"/>
  <sheetViews>
    <sheetView workbookViewId="0">
      <selection activeCell="F4" sqref="F4"/>
    </sheetView>
  </sheetViews>
  <sheetFormatPr defaultRowHeight="14.4" x14ac:dyDescent="0.3"/>
  <cols>
    <col min="3" max="3" width="11.77734375" bestFit="1" customWidth="1"/>
  </cols>
  <sheetData>
    <row r="1" spans="1:6" x14ac:dyDescent="0.3">
      <c r="A1" t="s">
        <v>72</v>
      </c>
      <c r="B1" t="s">
        <v>73</v>
      </c>
      <c r="C1" t="s">
        <v>74</v>
      </c>
      <c r="D1" t="s">
        <v>75</v>
      </c>
      <c r="E1" t="s">
        <v>79</v>
      </c>
      <c r="F1" t="s">
        <v>80</v>
      </c>
    </row>
    <row r="2" spans="1:6" x14ac:dyDescent="0.3">
      <c r="A2">
        <v>100</v>
      </c>
      <c r="B2">
        <v>10</v>
      </c>
      <c r="C2">
        <f>SQRT(SUM((A2-A3)^2)+(B2-B3)^2)</f>
        <v>100.4987562112089</v>
      </c>
      <c r="D2" t="s">
        <v>76</v>
      </c>
    </row>
    <row r="3" spans="1:6" x14ac:dyDescent="0.3">
      <c r="A3">
        <v>200</v>
      </c>
      <c r="B3">
        <v>20</v>
      </c>
      <c r="C3">
        <f t="shared" ref="C3:C4" si="0">SQRT(SUM((A3-A4)^2)+(B3-B4)^2)</f>
        <v>100.4987562112089</v>
      </c>
      <c r="D3" t="s">
        <v>78</v>
      </c>
      <c r="E3" t="s">
        <v>76</v>
      </c>
      <c r="F3" t="s">
        <v>81</v>
      </c>
    </row>
    <row r="4" spans="1:6" x14ac:dyDescent="0.3">
      <c r="A4">
        <v>300</v>
      </c>
      <c r="B4">
        <v>30</v>
      </c>
      <c r="C4">
        <f t="shared" si="0"/>
        <v>301.4962686336267</v>
      </c>
      <c r="D4" t="s">
        <v>77</v>
      </c>
      <c r="F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B480-4E42-433D-85C0-3FC8EEC6383B}">
  <dimension ref="A1"/>
  <sheetViews>
    <sheetView tabSelected="1" workbookViewId="0">
      <selection activeCell="D20" sqref="D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Linear_Regression_Metrics_Workb</vt:lpstr>
      <vt:lpstr>Naive bayes metricseorkb</vt:lpstr>
      <vt:lpstr>KNNxa</vt:lpstr>
      <vt:lpstr>SVN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Dushyant Kumar</cp:lastModifiedBy>
  <dcterms:created xsi:type="dcterms:W3CDTF">2026-06-02T17:10:57Z</dcterms:created>
  <dcterms:modified xsi:type="dcterms:W3CDTF">2026-06-08T11:23:46Z</dcterms:modified>
</cp:coreProperties>
</file>