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ocourse\DE1\iot_api_dk\iot-data-engineering-platform\src\AI\ML\SUPERVISED Learning\ds\"/>
    </mc:Choice>
  </mc:AlternateContent>
  <xr:revisionPtr revIDLastSave="0" documentId="13_ncr:1_{0B79A9A3-2CC4-4D35-A0F1-4418A30DCC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near Regression Metrics" sheetId="1" r:id="rId1"/>
  </sheets>
  <calcPr calcId="191029"/>
</workbook>
</file>

<file path=xl/calcChain.xml><?xml version="1.0" encoding="utf-8"?>
<calcChain xmlns="http://schemas.openxmlformats.org/spreadsheetml/2006/main">
  <c r="C30" i="1" l="1"/>
  <c r="C26" i="1"/>
  <c r="F11" i="1"/>
  <c r="F3" i="1"/>
  <c r="F4" i="1"/>
  <c r="F5" i="1"/>
  <c r="F6" i="1"/>
  <c r="F7" i="1"/>
  <c r="F8" i="1"/>
  <c r="F9" i="1"/>
  <c r="F10" i="1"/>
  <c r="F2" i="1"/>
  <c r="B11" i="1"/>
  <c r="D9" i="1" s="1"/>
  <c r="H9" i="1" s="1"/>
  <c r="C11" i="1"/>
  <c r="E7" i="1" s="1"/>
  <c r="D5" i="1" l="1"/>
  <c r="H5" i="1" s="1"/>
  <c r="D7" i="1"/>
  <c r="H7" i="1" s="1"/>
  <c r="D8" i="1"/>
  <c r="H8" i="1" s="1"/>
  <c r="D2" i="1"/>
  <c r="H2" i="1" s="1"/>
  <c r="D4" i="1"/>
  <c r="H4" i="1" s="1"/>
  <c r="D10" i="1"/>
  <c r="H10" i="1" s="1"/>
  <c r="D3" i="1"/>
  <c r="H3" i="1" s="1"/>
  <c r="D6" i="1"/>
  <c r="H6" i="1" s="1"/>
  <c r="E4" i="1"/>
  <c r="G4" i="1" s="1"/>
  <c r="E5" i="1"/>
  <c r="G5" i="1" s="1"/>
  <c r="E6" i="1"/>
  <c r="E3" i="1"/>
  <c r="E9" i="1"/>
  <c r="G9" i="1" s="1"/>
  <c r="E8" i="1"/>
  <c r="E10" i="1"/>
  <c r="G10" i="1" s="1"/>
  <c r="E2" i="1"/>
  <c r="G7" i="1" l="1"/>
  <c r="G8" i="1"/>
  <c r="G3" i="1"/>
  <c r="H11" i="1"/>
  <c r="G2" i="1"/>
  <c r="G6" i="1"/>
  <c r="G11" i="1"/>
  <c r="C16" i="1" s="1"/>
  <c r="C17" i="1" s="1"/>
  <c r="I5" i="1" l="1"/>
  <c r="J5" i="1" s="1"/>
  <c r="C19" i="1"/>
  <c r="I2" i="1"/>
  <c r="J2" i="1" s="1"/>
  <c r="I4" i="1"/>
  <c r="J4" i="1" s="1"/>
  <c r="I8" i="1"/>
  <c r="J8" i="1" s="1"/>
  <c r="I3" i="1"/>
  <c r="J3" i="1" s="1"/>
  <c r="I7" i="1"/>
  <c r="J7" i="1" s="1"/>
  <c r="I9" i="1"/>
  <c r="J9" i="1" s="1"/>
  <c r="I10" i="1"/>
  <c r="J10" i="1" s="1"/>
  <c r="I6" i="1"/>
  <c r="J6" i="1" s="1"/>
  <c r="L9" i="1" l="1"/>
  <c r="K9" i="1"/>
  <c r="K4" i="1"/>
  <c r="L4" i="1"/>
  <c r="L7" i="1"/>
  <c r="K7" i="1"/>
  <c r="L2" i="1"/>
  <c r="K2" i="1"/>
  <c r="L6" i="1"/>
  <c r="K6" i="1"/>
  <c r="L3" i="1"/>
  <c r="K3" i="1"/>
  <c r="L10" i="1"/>
  <c r="K10" i="1"/>
  <c r="K8" i="1"/>
  <c r="L8" i="1"/>
  <c r="L5" i="1"/>
  <c r="K5" i="1"/>
  <c r="L11" i="1" l="1"/>
  <c r="C21" i="1" s="1"/>
  <c r="C22" i="1" s="1"/>
  <c r="C23" i="1"/>
  <c r="C24" i="1"/>
</calcChain>
</file>

<file path=xl/sharedStrings.xml><?xml version="1.0" encoding="utf-8"?>
<sst xmlns="http://schemas.openxmlformats.org/spreadsheetml/2006/main" count="43" uniqueCount="42">
  <si>
    <t>Salary(y)</t>
  </si>
  <si>
    <t>x-x_bar</t>
  </si>
  <si>
    <t>exp(x)</t>
  </si>
  <si>
    <t>Average</t>
  </si>
  <si>
    <t>mean of y = y bar</t>
  </si>
  <si>
    <t>mean of x = x bar</t>
  </si>
  <si>
    <t>y-y_bar</t>
  </si>
  <si>
    <t xml:space="preserve">To calculate the prediction </t>
  </si>
  <si>
    <t xml:space="preserve">To calculate the slop </t>
  </si>
  <si>
    <t xml:space="preserve">To calculate the intersept </t>
  </si>
  <si>
    <t>y = b + b1*x</t>
  </si>
  <si>
    <t>b = y_bar -b1*x_bar</t>
  </si>
  <si>
    <t>b1 = (submission of x- x_bar * submission of y- y_bar )/ submission of x- x_bar squre</t>
  </si>
  <si>
    <t>x-x_bar * y-y_bar</t>
  </si>
  <si>
    <t xml:space="preserve"> x- x_bar squre</t>
  </si>
  <si>
    <t>sum of (x-x_bar * y-y_bar)</t>
  </si>
  <si>
    <t>sum of ( x- x_bar squre)</t>
  </si>
  <si>
    <t>lets exp is 5 then expected salary</t>
  </si>
  <si>
    <t>predicted salary (y_pred)</t>
  </si>
  <si>
    <t>Error(salary - y_pred)</t>
  </si>
  <si>
    <t>Absolute Error (AE)</t>
  </si>
  <si>
    <t>Squared Error (SE)</t>
  </si>
  <si>
    <t>SSE=∑(yi−yi^)2</t>
  </si>
  <si>
    <t>SSE (Sum of Squared Error)</t>
  </si>
  <si>
    <t>MSE (Mean Squared Error)</t>
  </si>
  <si>
    <t>MSE=SSE/n</t>
  </si>
  <si>
    <t>RMSE (Root Mean Squared Error)</t>
  </si>
  <si>
    <t>RMSE=SQRT(MSE)</t>
  </si>
  <si>
    <t>SQRT(AVERAGE(E2:E6))</t>
  </si>
  <si>
    <t>MAE (Mean Absolute Error)</t>
  </si>
  <si>
    <t>MAE=∑∣yi−yi^∣n</t>
  </si>
  <si>
    <t>AVERAGE(D2:D6)</t>
  </si>
  <si>
    <t>SST (Total Sum of Squares)</t>
  </si>
  <si>
    <t>SST=∑(yi−yˉ)2</t>
  </si>
  <si>
    <t>SSR (Regression Sum of Squares)</t>
  </si>
  <si>
    <t>SUM((Predicted-MeanActual)^2)</t>
  </si>
  <si>
    <t>SSR=∑(yi^−yˉ)2</t>
  </si>
  <si>
    <t>R² (R-Squared)</t>
  </si>
  <si>
    <t>1-(SSE/SST)</t>
  </si>
  <si>
    <t>( Y - Ŷ )²</t>
  </si>
  <si>
    <t>( Y - Ŷ )² =sum (salary - mean of salary)2</t>
  </si>
  <si>
    <t>sum (salary - mean of salary)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</si>
</sst>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1" fillId="3" borderId="1" xfId="0" applyFont="1" applyFill="1" applyBorder="1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13" workbookViewId="0">
      <selection activeCell="E34" sqref="E34"/>
    </sheetView>
  </sheetViews>
  <sheetFormatPr defaultRowHeight="14.4" x14ac:dyDescent="0.3"/>
  <cols>
    <col min="1" max="1" width="27.44140625" customWidth="1"/>
    <col min="2" max="2" width="47.21875" style="1" customWidth="1"/>
    <col min="3" max="3" width="14.6640625" style="1" bestFit="1" customWidth="1"/>
    <col min="4" max="5" width="12.6640625" bestFit="1" customWidth="1"/>
    <col min="6" max="6" width="12.6640625" customWidth="1"/>
    <col min="7" max="7" width="16.5546875" bestFit="1" customWidth="1"/>
    <col min="8" max="8" width="14.77734375" bestFit="1" customWidth="1"/>
    <col min="9" max="9" width="21.44140625" bestFit="1" customWidth="1"/>
    <col min="10" max="10" width="18.109375" bestFit="1" customWidth="1"/>
    <col min="11" max="11" width="16.33203125" bestFit="1" customWidth="1"/>
    <col min="12" max="12" width="15.6640625" bestFit="1" customWidth="1"/>
  </cols>
  <sheetData>
    <row r="1" spans="1:12" x14ac:dyDescent="0.3">
      <c r="B1" s="1" t="s">
        <v>2</v>
      </c>
      <c r="C1" s="1" t="s">
        <v>0</v>
      </c>
      <c r="D1" t="s">
        <v>1</v>
      </c>
      <c r="E1" t="s">
        <v>6</v>
      </c>
      <c r="F1" t="s">
        <v>39</v>
      </c>
      <c r="G1" t="s">
        <v>13</v>
      </c>
      <c r="H1" t="s">
        <v>14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3">
      <c r="B2" s="1">
        <v>2</v>
      </c>
      <c r="C2" s="1">
        <v>20000</v>
      </c>
      <c r="D2">
        <f>B2-B$11</f>
        <v>-1.1111111111111112</v>
      </c>
      <c r="E2">
        <f>C2-C$11</f>
        <v>-622.22222222222263</v>
      </c>
      <c r="F2">
        <f>E2*E2</f>
        <v>387160.49382716097</v>
      </c>
      <c r="G2">
        <f>D2*E2</f>
        <v>691.35802469135854</v>
      </c>
      <c r="H2">
        <f>D2*D2</f>
        <v>1.2345679012345681</v>
      </c>
      <c r="I2" s="11">
        <f>C$17+C$16*B2</f>
        <v>14542.857142857145</v>
      </c>
      <c r="J2">
        <f>C2-I2</f>
        <v>5457.1428571428551</v>
      </c>
      <c r="K2">
        <f>ABS(J2)</f>
        <v>5457.1428571428551</v>
      </c>
      <c r="L2">
        <f>J2*J2</f>
        <v>29780408.163265284</v>
      </c>
    </row>
    <row r="3" spans="1:12" x14ac:dyDescent="0.3">
      <c r="B3" s="1">
        <v>4</v>
      </c>
      <c r="C3" s="1">
        <v>30000</v>
      </c>
      <c r="D3">
        <f t="shared" ref="D3:D10" si="0">B3-B$11</f>
        <v>0.88888888888888884</v>
      </c>
      <c r="E3">
        <f>C3-C$11</f>
        <v>9377.7777777777774</v>
      </c>
      <c r="F3">
        <f t="shared" ref="F3:F10" si="1">E3*E3</f>
        <v>87942716.049382702</v>
      </c>
      <c r="G3">
        <f>D3*E3</f>
        <v>8335.8024691358023</v>
      </c>
      <c r="H3">
        <f>D3*D3</f>
        <v>0.79012345679012341</v>
      </c>
      <c r="I3" s="11">
        <f>C$17+C$16*B3</f>
        <v>25485.714285714286</v>
      </c>
      <c r="J3">
        <f>C3-I3</f>
        <v>4514.2857142857138</v>
      </c>
      <c r="K3">
        <f t="shared" ref="K3:K10" si="2">ABS(J3)</f>
        <v>4514.2857142857138</v>
      </c>
      <c r="L3">
        <f t="shared" ref="L3:L10" si="3">J3*J3</f>
        <v>20378775.510204077</v>
      </c>
    </row>
    <row r="4" spans="1:12" x14ac:dyDescent="0.3">
      <c r="B4" s="1">
        <v>2</v>
      </c>
      <c r="C4" s="1">
        <v>10000</v>
      </c>
      <c r="D4">
        <f t="shared" si="0"/>
        <v>-1.1111111111111112</v>
      </c>
      <c r="E4">
        <f>C4-C$11</f>
        <v>-10622.222222222223</v>
      </c>
      <c r="F4">
        <f t="shared" si="1"/>
        <v>112831604.93827161</v>
      </c>
      <c r="G4">
        <f>D4*E4</f>
        <v>11802.46913580247</v>
      </c>
      <c r="H4">
        <f>D4*D4</f>
        <v>1.2345679012345681</v>
      </c>
      <c r="I4" s="11">
        <f>C$17+C$16*B4</f>
        <v>14542.857142857145</v>
      </c>
      <c r="J4">
        <f>C4-I4</f>
        <v>-4542.8571428571449</v>
      </c>
      <c r="K4">
        <f t="shared" si="2"/>
        <v>4542.8571428571449</v>
      </c>
      <c r="L4">
        <f t="shared" si="3"/>
        <v>20637551.020408183</v>
      </c>
    </row>
    <row r="5" spans="1:12" x14ac:dyDescent="0.3">
      <c r="B5" s="1">
        <v>2</v>
      </c>
      <c r="C5" s="1">
        <v>10000</v>
      </c>
      <c r="D5">
        <f t="shared" si="0"/>
        <v>-1.1111111111111112</v>
      </c>
      <c r="E5">
        <f>C5-C$11</f>
        <v>-10622.222222222223</v>
      </c>
      <c r="F5">
        <f t="shared" si="1"/>
        <v>112831604.93827161</v>
      </c>
      <c r="G5">
        <f>D5*E5</f>
        <v>11802.46913580247</v>
      </c>
      <c r="H5">
        <f>D5*D5</f>
        <v>1.2345679012345681</v>
      </c>
      <c r="I5" s="11">
        <f>C$17+C$16*B5</f>
        <v>14542.857142857145</v>
      </c>
      <c r="J5">
        <f>C5-I5</f>
        <v>-4542.8571428571449</v>
      </c>
      <c r="K5">
        <f t="shared" si="2"/>
        <v>4542.8571428571449</v>
      </c>
      <c r="L5">
        <f t="shared" si="3"/>
        <v>20637551.020408183</v>
      </c>
    </row>
    <row r="6" spans="1:12" x14ac:dyDescent="0.3">
      <c r="B6" s="1">
        <v>3</v>
      </c>
      <c r="C6" s="1">
        <v>25000</v>
      </c>
      <c r="D6">
        <f t="shared" si="0"/>
        <v>-0.11111111111111116</v>
      </c>
      <c r="E6">
        <f>C6-C$11</f>
        <v>4377.7777777777774</v>
      </c>
      <c r="F6">
        <f t="shared" si="1"/>
        <v>19164938.271604937</v>
      </c>
      <c r="G6">
        <f>D6*E6</f>
        <v>-486.41975308641992</v>
      </c>
      <c r="H6">
        <f>D6*D6</f>
        <v>1.234567901234569E-2</v>
      </c>
      <c r="I6" s="11">
        <f>C$17+C$16*B6</f>
        <v>20014.285714285714</v>
      </c>
      <c r="J6">
        <f>C6-I6</f>
        <v>4985.7142857142862</v>
      </c>
      <c r="K6">
        <f t="shared" si="2"/>
        <v>4985.7142857142862</v>
      </c>
      <c r="L6">
        <f t="shared" si="3"/>
        <v>24857346.938775517</v>
      </c>
    </row>
    <row r="7" spans="1:12" x14ac:dyDescent="0.3">
      <c r="B7" s="1">
        <v>5</v>
      </c>
      <c r="C7" s="1">
        <v>35600</v>
      </c>
      <c r="D7">
        <f t="shared" si="0"/>
        <v>1.8888888888888888</v>
      </c>
      <c r="E7">
        <f>C7-C$11</f>
        <v>14977.777777777777</v>
      </c>
      <c r="F7">
        <f t="shared" si="1"/>
        <v>224333827.16049382</v>
      </c>
      <c r="G7">
        <f>D7*E7</f>
        <v>28291.358024691355</v>
      </c>
      <c r="H7">
        <f>D7*D7</f>
        <v>3.5679012345679011</v>
      </c>
      <c r="I7" s="11">
        <f>C$17+C$16*B7</f>
        <v>30957.142857142859</v>
      </c>
      <c r="J7">
        <f>C7-I7</f>
        <v>4642.8571428571413</v>
      </c>
      <c r="K7">
        <f t="shared" si="2"/>
        <v>4642.8571428571413</v>
      </c>
      <c r="L7">
        <f t="shared" si="3"/>
        <v>21556122.448979579</v>
      </c>
    </row>
    <row r="8" spans="1:12" x14ac:dyDescent="0.3">
      <c r="B8" s="1">
        <v>4</v>
      </c>
      <c r="C8" s="1">
        <v>12000</v>
      </c>
      <c r="D8">
        <f>B8-B$11</f>
        <v>0.88888888888888884</v>
      </c>
      <c r="E8">
        <f>C8-C$11</f>
        <v>-8622.2222222222226</v>
      </c>
      <c r="F8">
        <f t="shared" si="1"/>
        <v>74342716.049382716</v>
      </c>
      <c r="G8">
        <f>D8*E8</f>
        <v>-7664.1975308641977</v>
      </c>
      <c r="H8">
        <f>D8*D8</f>
        <v>0.79012345679012341</v>
      </c>
      <c r="I8" s="11">
        <f>C$17+C$16*B8</f>
        <v>25485.714285714286</v>
      </c>
      <c r="J8">
        <f>C8-I8</f>
        <v>-13485.714285714286</v>
      </c>
      <c r="K8">
        <f t="shared" si="2"/>
        <v>13485.714285714286</v>
      </c>
      <c r="L8">
        <f t="shared" si="3"/>
        <v>181864489.79591838</v>
      </c>
    </row>
    <row r="9" spans="1:12" x14ac:dyDescent="0.3">
      <c r="B9" s="1">
        <v>2</v>
      </c>
      <c r="C9" s="1">
        <v>18000</v>
      </c>
      <c r="D9">
        <f>B9-B$11</f>
        <v>-1.1111111111111112</v>
      </c>
      <c r="E9">
        <f>C9-C$11</f>
        <v>-2622.2222222222226</v>
      </c>
      <c r="F9">
        <f t="shared" si="1"/>
        <v>6876049.3827160513</v>
      </c>
      <c r="G9">
        <f>D9*E9</f>
        <v>2913.580246913581</v>
      </c>
      <c r="H9">
        <f>D9*D9</f>
        <v>1.2345679012345681</v>
      </c>
      <c r="I9" s="11">
        <f>C$17+C$16*B9</f>
        <v>14542.857142857145</v>
      </c>
      <c r="J9">
        <f>C9-I9</f>
        <v>3457.1428571428551</v>
      </c>
      <c r="K9">
        <f t="shared" si="2"/>
        <v>3457.1428571428551</v>
      </c>
      <c r="L9">
        <f t="shared" si="3"/>
        <v>11951836.734693862</v>
      </c>
    </row>
    <row r="10" spans="1:12" x14ac:dyDescent="0.3">
      <c r="B10" s="1">
        <v>4</v>
      </c>
      <c r="C10" s="1">
        <v>25000</v>
      </c>
      <c r="D10">
        <f t="shared" si="0"/>
        <v>0.88888888888888884</v>
      </c>
      <c r="E10">
        <f>C10-C$11</f>
        <v>4377.7777777777774</v>
      </c>
      <c r="F10">
        <f t="shared" si="1"/>
        <v>19164938.271604937</v>
      </c>
      <c r="G10">
        <f>D10*E10</f>
        <v>3891.3580246913575</v>
      </c>
      <c r="H10">
        <f>D10*D10</f>
        <v>0.79012345679012341</v>
      </c>
      <c r="I10" s="11">
        <f>C$17+C$16*B10</f>
        <v>25485.714285714286</v>
      </c>
      <c r="J10">
        <f>C10-I10</f>
        <v>-485.71428571428623</v>
      </c>
      <c r="K10">
        <f t="shared" si="2"/>
        <v>485.71428571428623</v>
      </c>
      <c r="L10">
        <f t="shared" si="3"/>
        <v>235918.36734693928</v>
      </c>
    </row>
    <row r="11" spans="1:12" x14ac:dyDescent="0.3">
      <c r="A11" s="3" t="s">
        <v>3</v>
      </c>
      <c r="B11" s="7">
        <f>AVERAGE(B2:B10)</f>
        <v>3.1111111111111112</v>
      </c>
      <c r="C11" s="7">
        <f>AVERAGE(C2:C10)</f>
        <v>20622.222222222223</v>
      </c>
      <c r="D11" s="3"/>
      <c r="E11" s="3"/>
      <c r="F11" s="3">
        <f>SUM(F2:F10)</f>
        <v>657875555.55555546</v>
      </c>
      <c r="G11" s="3">
        <f>SUM(G2:G10)</f>
        <v>59577.777777777774</v>
      </c>
      <c r="H11" s="3">
        <f>SUM(H2:H10)</f>
        <v>10.888888888888889</v>
      </c>
      <c r="L11" s="3">
        <f>SUM(L2:L10)</f>
        <v>331900000.00000006</v>
      </c>
    </row>
    <row r="12" spans="1:12" ht="43.2" x14ac:dyDescent="0.3">
      <c r="A12" s="3"/>
      <c r="B12" s="8" t="s">
        <v>5</v>
      </c>
      <c r="C12" s="8" t="s">
        <v>4</v>
      </c>
      <c r="D12" s="9"/>
      <c r="E12" s="12"/>
      <c r="F12" s="10" t="s">
        <v>41</v>
      </c>
      <c r="G12" s="10" t="s">
        <v>15</v>
      </c>
      <c r="H12" s="10" t="s">
        <v>16</v>
      </c>
      <c r="L12" s="10" t="s">
        <v>23</v>
      </c>
    </row>
    <row r="13" spans="1:12" x14ac:dyDescent="0.3">
      <c r="A13" s="3"/>
    </row>
    <row r="14" spans="1:12" x14ac:dyDescent="0.3">
      <c r="A14" s="3"/>
    </row>
    <row r="16" spans="1:12" ht="28.8" x14ac:dyDescent="0.3">
      <c r="A16" s="6" t="s">
        <v>8</v>
      </c>
      <c r="B16" s="5" t="s">
        <v>12</v>
      </c>
      <c r="C16" s="1">
        <f>G11/H11</f>
        <v>5471.4285714285706</v>
      </c>
    </row>
    <row r="17" spans="1:4" x14ac:dyDescent="0.3">
      <c r="A17" s="6" t="s">
        <v>9</v>
      </c>
      <c r="B17" s="4" t="s">
        <v>11</v>
      </c>
      <c r="C17" s="1">
        <f>C11 - (C16*B11)</f>
        <v>3600.0000000000036</v>
      </c>
    </row>
    <row r="18" spans="1:4" x14ac:dyDescent="0.3">
      <c r="A18" s="6" t="s">
        <v>7</v>
      </c>
      <c r="B18" s="4" t="s">
        <v>10</v>
      </c>
    </row>
    <row r="19" spans="1:4" x14ac:dyDescent="0.3">
      <c r="B19" s="11" t="s">
        <v>17</v>
      </c>
      <c r="C19" s="11">
        <f>C17+(C16*5)</f>
        <v>30957.142857142859</v>
      </c>
    </row>
    <row r="21" spans="1:4" x14ac:dyDescent="0.3">
      <c r="A21" s="6" t="s">
        <v>23</v>
      </c>
      <c r="B21" s="4" t="s">
        <v>22</v>
      </c>
      <c r="C21" s="4">
        <f>L11</f>
        <v>331900000.00000006</v>
      </c>
    </row>
    <row r="22" spans="1:4" x14ac:dyDescent="0.3">
      <c r="A22" t="s">
        <v>24</v>
      </c>
      <c r="B22" t="s">
        <v>25</v>
      </c>
      <c r="C22" s="1">
        <f>C21/9</f>
        <v>36877777.777777784</v>
      </c>
    </row>
    <row r="23" spans="1:4" ht="28.8" x14ac:dyDescent="0.3">
      <c r="A23" t="s">
        <v>26</v>
      </c>
      <c r="B23" t="s">
        <v>27</v>
      </c>
      <c r="C23">
        <f>SQRT(AVERAGE(L2:L10))</f>
        <v>6072.7076150410685</v>
      </c>
      <c r="D23" s="2" t="s">
        <v>28</v>
      </c>
    </row>
    <row r="24" spans="1:4" x14ac:dyDescent="0.3">
      <c r="A24" t="s">
        <v>29</v>
      </c>
      <c r="B24" t="s">
        <v>30</v>
      </c>
      <c r="C24">
        <f>AVERAGE(K2:K10)</f>
        <v>5123.8095238095229</v>
      </c>
      <c r="D24" t="s">
        <v>31</v>
      </c>
    </row>
    <row r="26" spans="1:4" x14ac:dyDescent="0.3">
      <c r="A26" s="6" t="s">
        <v>32</v>
      </c>
      <c r="B26" s="4" t="s">
        <v>33</v>
      </c>
      <c r="C26" s="4">
        <f>F11</f>
        <v>657875555.55555546</v>
      </c>
      <c r="D26" s="4" t="s">
        <v>40</v>
      </c>
    </row>
    <row r="28" spans="1:4" x14ac:dyDescent="0.3">
      <c r="A28" s="6" t="s">
        <v>34</v>
      </c>
      <c r="B28" s="4" t="s">
        <v>35</v>
      </c>
      <c r="C28" s="4"/>
      <c r="D28" s="4" t="s">
        <v>36</v>
      </c>
    </row>
    <row r="30" spans="1:4" x14ac:dyDescent="0.3">
      <c r="A30" s="6" t="s">
        <v>37</v>
      </c>
      <c r="B30" s="4" t="s">
        <v>38</v>
      </c>
      <c r="C30" s="4">
        <f>1-(C21/C26)</f>
        <v>0.49549729094323802</v>
      </c>
      <c r="D3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Linear Regression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Dushyant Kumar</cp:lastModifiedBy>
  <dcterms:created xsi:type="dcterms:W3CDTF">2026-06-02T17:10:57Z</dcterms:created>
  <dcterms:modified xsi:type="dcterms:W3CDTF">2026-06-03T21:52:01Z</dcterms:modified>
</cp:coreProperties>
</file>